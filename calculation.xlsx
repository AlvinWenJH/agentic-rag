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WenJH\Documents\project\vectorless-rag\"/>
    </mc:Choice>
  </mc:AlternateContent>
  <xr:revisionPtr revIDLastSave="0" documentId="8_{9CF19200-9886-4114-BD6C-98F76E29919F}" xr6:coauthVersionLast="47" xr6:coauthVersionMax="47" xr10:uidLastSave="{00000000-0000-0000-0000-000000000000}"/>
  <bookViews>
    <workbookView xWindow="-108" yWindow="-108" windowWidth="23256" windowHeight="12456" xr2:uid="{BA61766D-45C2-4412-9025-71046403D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E20" i="1" s="1"/>
  <c r="C21" i="1"/>
  <c r="E21" i="1" s="1"/>
  <c r="C19" i="1"/>
  <c r="B20" i="1"/>
  <c r="B21" i="1"/>
  <c r="B19" i="1"/>
  <c r="D19" i="1" s="1"/>
  <c r="E19" i="1"/>
  <c r="D20" i="1"/>
  <c r="D21" i="1"/>
  <c r="E18" i="1"/>
  <c r="D18" i="1"/>
  <c r="K8" i="1"/>
  <c r="K9" i="1"/>
  <c r="K10" i="1"/>
  <c r="K11" i="1"/>
  <c r="K12" i="1"/>
  <c r="K13" i="1"/>
  <c r="J8" i="1"/>
  <c r="J9" i="1"/>
  <c r="J10" i="1"/>
  <c r="J11" i="1"/>
  <c r="J12" i="1"/>
  <c r="J13" i="1"/>
  <c r="J7" i="1"/>
  <c r="K7" i="1"/>
  <c r="I11" i="1"/>
  <c r="I12" i="1"/>
  <c r="I13" i="1"/>
  <c r="I10" i="1"/>
  <c r="H11" i="1"/>
  <c r="H12" i="1"/>
  <c r="H13" i="1"/>
  <c r="H10" i="1"/>
  <c r="C12" i="1"/>
  <c r="E12" i="1" s="1"/>
  <c r="C13" i="1"/>
  <c r="E13" i="1" s="1"/>
  <c r="B12" i="1"/>
  <c r="D12" i="1" s="1"/>
  <c r="B13" i="1"/>
  <c r="D13" i="1" s="1"/>
  <c r="E7" i="1"/>
  <c r="D7" i="1"/>
  <c r="C10" i="1"/>
  <c r="E10" i="1" s="1"/>
  <c r="C11" i="1"/>
  <c r="E11" i="1" s="1"/>
  <c r="B10" i="1"/>
  <c r="D10" i="1" s="1"/>
  <c r="B11" i="1"/>
  <c r="D11" i="1" s="1"/>
  <c r="C9" i="1"/>
  <c r="E9" i="1" s="1"/>
  <c r="C8" i="1"/>
  <c r="E8" i="1" s="1"/>
  <c r="B9" i="1"/>
  <c r="D9" i="1" s="1"/>
  <c r="B8" i="1"/>
  <c r="D8" i="1" s="1"/>
  <c r="D4" i="1" l="1"/>
  <c r="E4" i="1" s="1"/>
</calcChain>
</file>

<file path=xl/sharedStrings.xml><?xml version="1.0" encoding="utf-8"?>
<sst xmlns="http://schemas.openxmlformats.org/spreadsheetml/2006/main" count="27" uniqueCount="14">
  <si>
    <t>Indexing</t>
  </si>
  <si>
    <t>Step 1</t>
  </si>
  <si>
    <t>page</t>
  </si>
  <si>
    <t>input token</t>
  </si>
  <si>
    <t>output token</t>
  </si>
  <si>
    <t>input cost</t>
  </si>
  <si>
    <t>output cost</t>
  </si>
  <si>
    <t>Step2</t>
  </si>
  <si>
    <t>Generating Subtree</t>
  </si>
  <si>
    <t>Merging Tree</t>
  </si>
  <si>
    <t>model</t>
  </si>
  <si>
    <t>gemini-2.5-flash</t>
  </si>
  <si>
    <t>200 Pages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</si>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</sst>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[$IDR]\ * #,##0.00_);_([$IDR]\ * \(#,##0.00\);_([$IDR]\ * &quot;-&quot;??_);_(@_)"/>
    <numFmt numFmtId="170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/>
    <xf numFmtId="170" fontId="0" fillId="0" borderId="0" xfId="1" applyNumberFormat="1" applyFont="1"/>
    <xf numFmtId="168" fontId="0" fillId="2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Sheet1!$H$6</c:f>
              <c:strCache>
                <c:ptCount val="1"/>
                <c:pt idx="0">
                  <c:v>input token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Sheet1!$G$7:$G$9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14</c:v>
                </c:pt>
              </c:numCache>
            </c:numRef>
          </c:xVal>
          <c:yVal>
            <c:numRef>
              <c:f>Sheet1!$H$7:$H$9</c:f>
              <c:numCache>
                <c:formatCode>_(* #,##0_);_(* \(#,##0\);_(* "-"??_);_(@_)</c:formatCode>
                <c:ptCount val="3"/>
                <c:pt idx="0">
                  <c:v>1500</c:v>
                </c:pt>
                <c:pt idx="1">
                  <c:v>12000</c:v>
                </c:pt>
                <c:pt idx="2">
                  <c:v>35000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C-42A9-931C-3DB4DC4D6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51008"/>
        <c:axId val="341545248"/>
      </c:scatterChart>
      <c:valAx>
        <c:axId val="34155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45248"/>
        <c:crosses val="autoZero"/>
        <c:crossBetween val="midCat"/>
      </c:valAx>
      <c:valAx>
        <c:axId val="3415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5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</a:t>
            </a:r>
            <a:r>
              <a:rPr lang="en-US" baseline="0"/>
              <a:t> Token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Sheet1!$G$7:$G$9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14</c:v>
                </c:pt>
              </c:numCache>
            </c:numRef>
          </c:xVal>
          <c:yVal>
            <c:numRef>
              <c:f>Sheet1!$I$7:$I$9</c:f>
              <c:numCache>
                <c:formatCode>_(* #,##0_);_(* \(#,##0\);_(* "-"??_);_(@_)</c:formatCode>
                <c:ptCount val="3"/>
                <c:pt idx="0">
                  <c:v>1500</c:v>
                </c:pt>
                <c:pt idx="1">
                  <c:v>3000</c:v>
                </c:pt>
                <c:pt idx="2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8-44BC-87FC-780BAA556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56768"/>
        <c:axId val="341553888"/>
      </c:scatterChart>
      <c:valAx>
        <c:axId val="3415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53888"/>
        <c:crosses val="autoZero"/>
        <c:crossBetween val="midCat"/>
      </c:valAx>
      <c:valAx>
        <c:axId val="3415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5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350520</xdr:colOff>
      <xdr:row>0</xdr:row>
      <xdr:rowOff>133350</xdr:rowOff>
    </xdr:from>
    <xdr:to>
      <xdr:col>20</xdr:col>
      <xdr:colOff>45720</xdr:colOff>
      <xdr:row>15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6FE81D-1703-8356-F639-E33BEE429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167640</xdr:colOff>
      <xdr:row>0</xdr:row>
      <xdr:rowOff>133350</xdr:rowOff>
    </xdr:from>
    <xdr:to>
      <xdr:col>27</xdr:col>
      <xdr:colOff>472440</xdr:colOff>
      <xdr:row>15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95571A-0520-4B3C-4C26-E825DDC27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1AE4-40DD-4421-934B-F9BB41C28CC6}">
  <dimension ref="A1:K21"/>
  <sheetViews>
    <sheetView tabSelected="1" workbookViewId="0">
      <selection activeCell="H20" sqref="H20"/>
    </sheetView>
  </sheetViews>
  <sheetFormatPr defaultRowHeight="14.4" x14ac:dyDescent="0.3"/>
  <cols>
    <col min="1" max="1" width="5.88671875" bestFit="1" customWidth="1"/>
    <col min="2" max="2" width="14.21875" bestFit="1" customWidth="1"/>
    <col min="3" max="3" width="11.5546875" bestFit="1" customWidth="1"/>
    <col min="4" max="4" width="10.33203125" bestFit="1" customWidth="1"/>
    <col min="5" max="5" width="14.5546875" bestFit="1" customWidth="1"/>
    <col min="7" max="7" width="4.88671875" bestFit="1" customWidth="1"/>
    <col min="8" max="8" width="12.5546875" bestFit="1" customWidth="1"/>
    <col min="9" max="9" width="11.5546875" bestFit="1" customWidth="1"/>
    <col min="10" max="10" width="9" bestFit="1" customWidth="1"/>
    <col min="11" max="11" width="10.33203125" bestFit="1" customWidth="1"/>
  </cols>
  <sheetData>
    <row r="1" spans="1:11" x14ac:dyDescent="0.3">
      <c r="B1" t="s">
        <v>10</v>
      </c>
      <c r="C1" t="s">
        <v>5</v>
      </c>
      <c r="D1" t="s">
        <v>6</v>
      </c>
    </row>
    <row r="2" spans="1:11" x14ac:dyDescent="0.3">
      <c r="B2" t="s">
        <v>11</v>
      </c>
      <c r="C2">
        <v>0.33</v>
      </c>
      <c r="D2">
        <v>2.5</v>
      </c>
    </row>
    <row r="4" spans="1:11" x14ac:dyDescent="0.3">
      <c r="B4" t="s">
        <v>0</v>
      </c>
      <c r="C4" t="s">
        <v>12</v>
      </c>
      <c r="D4" s="2">
        <f>D13+E13+J13+K13</f>
        <v>3.7744806000000004</v>
      </c>
      <c r="E4" s="4">
        <f>D4*16500</f>
        <v>62278.92990000001</v>
      </c>
    </row>
    <row r="5" spans="1:11" x14ac:dyDescent="0.3">
      <c r="B5" t="s">
        <v>1</v>
      </c>
      <c r="C5" s="1" t="s">
        <v>8</v>
      </c>
      <c r="D5" s="1"/>
      <c r="E5" s="1"/>
      <c r="H5" t="s">
        <v>7</v>
      </c>
      <c r="I5" s="1" t="s">
        <v>9</v>
      </c>
      <c r="J5" s="1"/>
      <c r="K5" s="1"/>
    </row>
    <row r="6" spans="1:11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G6" t="s">
        <v>2</v>
      </c>
      <c r="H6" t="s">
        <v>3</v>
      </c>
      <c r="I6" t="s">
        <v>4</v>
      </c>
      <c r="J6" t="s">
        <v>5</v>
      </c>
      <c r="K6" t="s">
        <v>6</v>
      </c>
    </row>
    <row r="7" spans="1:11" x14ac:dyDescent="0.3">
      <c r="A7">
        <v>1</v>
      </c>
      <c r="B7" s="3">
        <v>1000</v>
      </c>
      <c r="C7" s="3">
        <v>1500</v>
      </c>
      <c r="D7" s="2">
        <f>B7*C$2/1000000</f>
        <v>3.3E-4</v>
      </c>
      <c r="E7" s="2">
        <f>C7*D$2/1000000</f>
        <v>3.7499999999999999E-3</v>
      </c>
      <c r="G7">
        <v>1</v>
      </c>
      <c r="H7" s="3">
        <v>1500</v>
      </c>
      <c r="I7" s="3">
        <v>1500</v>
      </c>
      <c r="J7" s="2">
        <f>$H7*$C$2/1000000</f>
        <v>4.95E-4</v>
      </c>
      <c r="K7" s="2">
        <f>I7*$D$2/1000000</f>
        <v>3.7499999999999999E-3</v>
      </c>
    </row>
    <row r="8" spans="1:11" x14ac:dyDescent="0.3">
      <c r="A8">
        <v>7</v>
      </c>
      <c r="B8" s="3">
        <f>$A8*B$7</f>
        <v>7000</v>
      </c>
      <c r="C8" s="3">
        <f>$A8*C$7</f>
        <v>10500</v>
      </c>
      <c r="D8" s="2">
        <f>B8*C$2/1000000</f>
        <v>2.31E-3</v>
      </c>
      <c r="E8" s="2">
        <f>C8*D$2/1000000</f>
        <v>2.6249999999999999E-2</v>
      </c>
      <c r="G8">
        <v>7</v>
      </c>
      <c r="H8" s="3">
        <v>12000</v>
      </c>
      <c r="I8" s="3">
        <v>3000</v>
      </c>
      <c r="J8" s="2">
        <f t="shared" ref="J8:J13" si="0">$H8*$C$2/1000000</f>
        <v>3.96E-3</v>
      </c>
      <c r="K8" s="2">
        <f t="shared" ref="K8:K13" si="1">I8*$D$2/1000000</f>
        <v>7.4999999999999997E-3</v>
      </c>
    </row>
    <row r="9" spans="1:11" x14ac:dyDescent="0.3">
      <c r="A9">
        <v>14</v>
      </c>
      <c r="B9" s="3">
        <f>$A9*B$7</f>
        <v>14000</v>
      </c>
      <c r="C9" s="3">
        <f>$A9*C$7</f>
        <v>21000</v>
      </c>
      <c r="D9" s="2">
        <f>B9*C$2/1000000</f>
        <v>4.62E-3</v>
      </c>
      <c r="E9" s="2">
        <f>C9*D$2/1000000</f>
        <v>5.2499999999999998E-2</v>
      </c>
      <c r="G9">
        <v>14</v>
      </c>
      <c r="H9" s="3">
        <v>35000</v>
      </c>
      <c r="I9" s="3">
        <v>6000</v>
      </c>
      <c r="J9" s="2">
        <f t="shared" si="0"/>
        <v>1.155E-2</v>
      </c>
      <c r="K9" s="2">
        <f t="shared" si="1"/>
        <v>1.4999999999999999E-2</v>
      </c>
    </row>
    <row r="10" spans="1:11" x14ac:dyDescent="0.3">
      <c r="A10">
        <v>50</v>
      </c>
      <c r="B10" s="3">
        <f>$A10*B$7</f>
        <v>50000</v>
      </c>
      <c r="C10" s="3">
        <f>$A10*C$7</f>
        <v>75000</v>
      </c>
      <c r="D10" s="2">
        <f>B10*C$2/1000000</f>
        <v>1.6500000000000001E-2</v>
      </c>
      <c r="E10" s="2">
        <f>C10*D$2/1000000</f>
        <v>0.1875</v>
      </c>
      <c r="G10">
        <v>50</v>
      </c>
      <c r="H10" s="3">
        <f>109.66*G10^2+962.85*G10</f>
        <v>322292.5</v>
      </c>
      <c r="I10" s="3">
        <f>13.74*G10^2+140.11*G10+1346.2</f>
        <v>42701.7</v>
      </c>
      <c r="J10" s="2">
        <f t="shared" si="0"/>
        <v>0.10635652500000001</v>
      </c>
      <c r="K10" s="2">
        <f t="shared" si="1"/>
        <v>0.10675424999999999</v>
      </c>
    </row>
    <row r="11" spans="1:11" x14ac:dyDescent="0.3">
      <c r="A11">
        <v>100</v>
      </c>
      <c r="B11" s="3">
        <f>$A11*B$7</f>
        <v>100000</v>
      </c>
      <c r="C11" s="3">
        <f>$A11*C$7</f>
        <v>150000</v>
      </c>
      <c r="D11" s="2">
        <f>B11*C$2/1000000</f>
        <v>3.3000000000000002E-2</v>
      </c>
      <c r="E11" s="2">
        <f>C11*D$2/1000000</f>
        <v>0.375</v>
      </c>
      <c r="G11">
        <v>100</v>
      </c>
      <c r="H11" s="3">
        <f t="shared" ref="H11:H13" si="2">109.66*G11^2+962.85*G11</f>
        <v>1192885</v>
      </c>
      <c r="I11" s="3">
        <f t="shared" ref="I11:I13" si="3">13.74*G11^2+140.11*G11+1346.2</f>
        <v>152757.20000000001</v>
      </c>
      <c r="J11" s="2">
        <f t="shared" si="0"/>
        <v>0.39365205000000003</v>
      </c>
      <c r="K11" s="2">
        <f t="shared" si="1"/>
        <v>0.38189299999999998</v>
      </c>
    </row>
    <row r="12" spans="1:11" x14ac:dyDescent="0.3">
      <c r="A12">
        <v>150</v>
      </c>
      <c r="B12" s="3">
        <f>$A12*B$7</f>
        <v>150000</v>
      </c>
      <c r="C12" s="3">
        <f>$A12*C$7</f>
        <v>225000</v>
      </c>
      <c r="D12" s="2">
        <f>B12*C$2/1000000</f>
        <v>4.9500000000000002E-2</v>
      </c>
      <c r="E12" s="2">
        <f>C12*D$2/1000000</f>
        <v>0.5625</v>
      </c>
      <c r="G12">
        <v>150</v>
      </c>
      <c r="H12" s="3">
        <f t="shared" si="2"/>
        <v>2611777.5</v>
      </c>
      <c r="I12" s="3">
        <f t="shared" si="3"/>
        <v>331512.7</v>
      </c>
      <c r="J12" s="2">
        <f t="shared" si="0"/>
        <v>0.8618865750000001</v>
      </c>
      <c r="K12" s="2">
        <f t="shared" si="1"/>
        <v>0.82878174999999998</v>
      </c>
    </row>
    <row r="13" spans="1:11" x14ac:dyDescent="0.3">
      <c r="A13">
        <v>200</v>
      </c>
      <c r="B13" s="3">
        <f>$A13*B$7</f>
        <v>200000</v>
      </c>
      <c r="C13" s="3">
        <f>$A13*C$7</f>
        <v>300000</v>
      </c>
      <c r="D13" s="2">
        <f>B13*C$2/1000000</f>
        <v>6.6000000000000003E-2</v>
      </c>
      <c r="E13" s="2">
        <f>C13*D$2/1000000</f>
        <v>0.75</v>
      </c>
      <c r="G13">
        <v>200</v>
      </c>
      <c r="H13" s="3">
        <f t="shared" si="2"/>
        <v>4578970</v>
      </c>
      <c r="I13" s="3">
        <f t="shared" si="3"/>
        <v>578968.19999999995</v>
      </c>
      <c r="J13" s="2">
        <f t="shared" si="0"/>
        <v>1.5110601000000001</v>
      </c>
      <c r="K13" s="2">
        <f t="shared" si="1"/>
        <v>1.4474205</v>
      </c>
    </row>
    <row r="15" spans="1:11" x14ac:dyDescent="0.3">
      <c r="B15" t="s">
        <v>13</v>
      </c>
    </row>
    <row r="16" spans="1:11" x14ac:dyDescent="0.3">
      <c r="A16" t="s">
        <v>2</v>
      </c>
    </row>
    <row r="17" spans="1:5" x14ac:dyDescent="0.3">
      <c r="A17" t="s">
        <v>13</v>
      </c>
      <c r="B17" t="s">
        <v>3</v>
      </c>
      <c r="C17" t="s">
        <v>4</v>
      </c>
      <c r="D17" t="s">
        <v>5</v>
      </c>
      <c r="E17" t="s">
        <v>6</v>
      </c>
    </row>
    <row r="18" spans="1:5" x14ac:dyDescent="0.3">
      <c r="A18">
        <v>1</v>
      </c>
      <c r="B18">
        <v>8000</v>
      </c>
      <c r="C18">
        <v>500</v>
      </c>
      <c r="D18" s="2">
        <f>B18*C$2/1000000</f>
        <v>2.64E-3</v>
      </c>
      <c r="E18" s="2">
        <f>C18*D$2/1000000</f>
        <v>1.25E-3</v>
      </c>
    </row>
    <row r="19" spans="1:5" x14ac:dyDescent="0.3">
      <c r="A19">
        <v>10</v>
      </c>
      <c r="B19" s="3">
        <f>$A19*B$18</f>
        <v>80000</v>
      </c>
      <c r="C19" s="3">
        <f>$A19*C$18</f>
        <v>5000</v>
      </c>
      <c r="D19" s="2">
        <f>B19*C$2/1000000</f>
        <v>2.64E-2</v>
      </c>
      <c r="E19" s="2">
        <f>C19*D$2/1000000</f>
        <v>1.2500000000000001E-2</v>
      </c>
    </row>
    <row r="20" spans="1:5" x14ac:dyDescent="0.3">
      <c r="A20">
        <v>100</v>
      </c>
      <c r="B20" s="3">
        <f t="shared" ref="B20:C21" si="4">$A20*B$18</f>
        <v>800000</v>
      </c>
      <c r="C20" s="3">
        <f t="shared" si="4"/>
        <v>50000</v>
      </c>
      <c r="D20" s="2">
        <f>B20*C$2/1000000</f>
        <v>0.26400000000000001</v>
      </c>
      <c r="E20" s="2">
        <f>C20*D$2/1000000</f>
        <v>0.125</v>
      </c>
    </row>
    <row r="21" spans="1:5" x14ac:dyDescent="0.3">
      <c r="A21">
        <v>1000</v>
      </c>
      <c r="B21" s="3">
        <f t="shared" si="4"/>
        <v>8000000</v>
      </c>
      <c r="C21" s="3">
        <f t="shared" si="4"/>
        <v>500000</v>
      </c>
      <c r="D21" s="2">
        <f>B21*C$2/1000000</f>
        <v>2.64</v>
      </c>
      <c r="E21" s="2">
        <f>C21*D$2/1000000</f>
        <v>1.25</v>
      </c>
    </row>
  </sheetData>
  <mergeCells count="2">
    <mergeCell ref="C5:E5"/>
    <mergeCell ref="I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Wen</dc:creator>
  <cp:lastModifiedBy>Alvin Wen</cp:lastModifiedBy>
  <dcterms:created xsi:type="dcterms:W3CDTF">2025-10-25T17:53:28Z</dcterms:created>
  <dcterms:modified xsi:type="dcterms:W3CDTF">2025-11-11T14:35:19Z</dcterms:modified>
</cp:coreProperties>
</file>